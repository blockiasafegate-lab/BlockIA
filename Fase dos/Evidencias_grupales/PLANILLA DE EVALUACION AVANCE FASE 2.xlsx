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3/Grupo 4/"/>
    </mc:Choice>
  </mc:AlternateContent>
  <xr:revisionPtr revIDLastSave="0" documentId="13_ncr:1_{26156126-A37B-5D41-8405-BEEA23DCF8B9}" xr6:coauthVersionLast="47" xr6:coauthVersionMax="47" xr10:uidLastSave="{00000000-0000-0000-0000-000000000000}"/>
  <bookViews>
    <workbookView xWindow="0" yWindow="760" windowWidth="30240" windowHeight="1838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<sst xmlns="http://schemas.openxmlformats.org/spreadsheetml/2006/main" count="86" uniqueCount="68">
  <si>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</si>
  <si>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</si>
  <si>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</si>
  <si>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</si>
  <si>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</si>
  <si>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</si>
  <si>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</si>
  <si>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</si>
  <si>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</si>
  <si>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</si>
  <si>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</si>
  <si>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</si>
  <si>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</si>
  <si>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</si>
  <si>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</si>
  <si>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</si>
  <si>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</si>
  <si>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</si>
  <si>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</si>
  <si>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</si>
  <si>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</si>
  <si>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</si>
  <si>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</si>
  <si>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</si>
  <si>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</si>
  <si>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</si>
  <si>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</si>
  <si>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</si>
  <si>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</si>
  <si>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</si>
  <si>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</si>
  <si>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</si>
  <si>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</si>
  <si>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</si>
  <si>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</si>
  <si>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</si>
  <si>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</si>
  <si>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</si>
  <si>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</si>
  <si>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</si>
  <si>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</si>
  <si>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</si>
  <si>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</si>
  <si>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</si>
  <si>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</si>
  <si>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</si>
  <si>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</si>
  <si>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</si>
  <si>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</si>
  <si>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</si>
  <si>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</si>
  <si>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</si>
  <si>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</si>
  <si>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</si>
  <si>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</si>
  <si>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</si>
  <si>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</si>
  <si>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</si>
  <si>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</si>
  <si>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</si>
  <si>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</si>
  <si>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</si>
  <si>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</si>
  <si>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Sebastián Constanzo</t>
  </si>
  <si>
    <t>Hildebrando Fuentes</t>
  </si>
  <si>
    <t>Nicolás Fuenzalida</t>
  </si>
  <si>
    <t>Súper débil la aplicación</t>
  </si>
  <si>
    <t>Revisar nuevos usos de la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</si>
</sst>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18"/>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8">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7" fillId="0" borderId="1" xfId="0" applyFont="1" applyBorder="1" applyAlignment="1">
      <alignment wrapText="1" readingOrder="1"/>
    </xf>
    <xf numFmtId="0" fontId="14"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6" zoomScale="120" zoomScaleNormal="120" workbookViewId="0">
      <selection activeCell="B27" sqref="B27"/>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2</v>
      </c>
      <c r="C3" s="31" t="s">
        <v>9</v>
      </c>
    </row>
    <row r="4" spans="1:11" ht="17" x14ac:dyDescent="0.2">
      <c r="A4" s="4">
        <v>1</v>
      </c>
      <c r="B4" s="56" t="s">
        <v>63</v>
      </c>
      <c r="C4" s="5">
        <f>EVALUACION2!$C$22</f>
        <v>4.5999999999999996</v>
      </c>
      <c r="G4" s="1"/>
    </row>
    <row r="5" spans="1:11" ht="17" x14ac:dyDescent="0.2">
      <c r="A5" s="4">
        <v>2</v>
      </c>
      <c r="B5" s="56" t="s">
        <v>64</v>
      </c>
      <c r="C5" s="5">
        <f>EVALUACION2!$C$22</f>
        <v>4.5999999999999996</v>
      </c>
      <c r="G5" s="1"/>
    </row>
    <row r="6" spans="1:11" ht="17" x14ac:dyDescent="0.2">
      <c r="A6" s="4">
        <v>3</v>
      </c>
      <c r="B6" s="56" t="s">
        <v>65</v>
      </c>
      <c r="C6" s="5">
        <f>EVALUACION2!$C$22</f>
        <v>4.5999999999999996</v>
      </c>
      <c r="G6" s="1"/>
    </row>
    <row r="11" spans="1:11" ht="19" outlineLevel="1" x14ac:dyDescent="0.2">
      <c r="A11" s="37" t="s">
        <v>9</v>
      </c>
      <c r="B11" s="14"/>
      <c r="C11" s="41" t="s">
        <v>10</v>
      </c>
      <c r="D11" s="42" t="s">
        <v>11</v>
      </c>
      <c r="E11" s="44"/>
      <c r="F11" s="44"/>
      <c r="G11" s="44"/>
      <c r="H11" s="44"/>
      <c r="I11" s="44"/>
      <c r="J11" s="44"/>
      <c r="K11" s="43"/>
    </row>
    <row r="12" spans="1:11" outlineLevel="1" x14ac:dyDescent="0.2">
      <c r="A12" s="38"/>
      <c r="B12" s="19" t="s">
        <v>12</v>
      </c>
      <c r="C12" s="40"/>
      <c r="D12" s="42" t="s">
        <v>5</v>
      </c>
      <c r="E12" s="43"/>
      <c r="F12" s="42" t="s">
        <v>6</v>
      </c>
      <c r="G12" s="43"/>
      <c r="H12" s="45" t="s">
        <v>23</v>
      </c>
      <c r="I12" s="43"/>
      <c r="J12" s="42" t="s">
        <v>7</v>
      </c>
      <c r="K12" s="43"/>
    </row>
    <row r="13" spans="1:11" outlineLevel="1" x14ac:dyDescent="0.2">
      <c r="A13" s="39"/>
      <c r="B13" s="26" t="str">
        <f>RUBRICA!A4</f>
        <v xml:space="preserve">1. Propone ajustes al Proyecto APT considerando dificultades, facilitadores y retroalimentación. </v>
      </c>
      <c r="C13" s="24"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5" customHeight="1" outlineLevel="1" x14ac:dyDescent="0.2">
      <c r="A14" s="39"/>
      <c r="B14" s="26" t="str">
        <f>RUBRICA!A5</f>
        <v>2. Aplica una metodología que permite el logro de los objetivos propuestos, de acuerdo a los estándares de la disciplina.</v>
      </c>
      <c r="C14" s="24" t="s">
        <v>6</v>
      </c>
      <c r="D14" s="15" t="str">
        <f t="shared" si="0"/>
        <v/>
      </c>
      <c r="E14" s="15" t="str">
        <f>IF(D14="X",100*0.1,"")</f>
        <v/>
      </c>
      <c r="F14" s="15" t="str">
        <f t="shared" si="1"/>
        <v>X</v>
      </c>
      <c r="G14" s="15">
        <f>IF(F14="X",60*0.1,"")</f>
        <v>6</v>
      </c>
      <c r="H14" s="15" t="str">
        <f t="shared" si="2"/>
        <v/>
      </c>
      <c r="I14" s="15" t="str">
        <f>IF(H14="X",30*0.1,"")</f>
        <v/>
      </c>
      <c r="J14" s="15" t="str">
        <f t="shared" si="3"/>
        <v/>
      </c>
      <c r="K14" s="15" t="str">
        <f t="shared" si="4"/>
        <v/>
      </c>
    </row>
    <row r="15" spans="1:11" ht="39" outlineLevel="1" x14ac:dyDescent="0.2">
      <c r="A15" s="39"/>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24</v>
      </c>
      <c r="D15" s="15" t="str">
        <f t="shared" si="0"/>
        <v/>
      </c>
      <c r="E15" s="15" t="str">
        <f>IF(D15="X",100*0.25,"")</f>
        <v/>
      </c>
      <c r="F15" s="15" t="str">
        <f t="shared" si="1"/>
        <v/>
      </c>
      <c r="G15" s="15" t="str">
        <f>IF(F15="X",60*0.25,"")</f>
        <v/>
      </c>
      <c r="H15" s="15" t="str">
        <f t="shared" si="2"/>
        <v>X</v>
      </c>
      <c r="I15" s="15">
        <f>IF(H15="X",30*0.25,"")</f>
        <v>7.5</v>
      </c>
      <c r="J15" s="15" t="str">
        <f t="shared" si="3"/>
        <v/>
      </c>
      <c r="K15" s="15" t="str">
        <f t="shared" si="4"/>
        <v/>
      </c>
    </row>
    <row r="16" spans="1:11" ht="26" outlineLevel="1" x14ac:dyDescent="0.2">
      <c r="A16" s="39"/>
      <c r="B16" s="26" t="str">
        <f>RUBRICA!A7</f>
        <v>4. Utiliza de manera precisa el lenguaje técnico en los entregables de acuerdo con lo requerido por la disciplina.</v>
      </c>
      <c r="C16" s="24"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outlineLevel="1" x14ac:dyDescent="0.2">
      <c r="A17" s="39"/>
      <c r="B17" s="26" t="str">
        <f>RUBRICA!A8</f>
        <v xml:space="preserve">5. Utiliza reglas de redacción, ortografía (literal, puntual, acentual) y las normas para citas y referencias. </v>
      </c>
      <c r="C17" s="24"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6" outlineLevel="1" x14ac:dyDescent="0.2">
      <c r="A18" s="39"/>
      <c r="B18" s="26" t="str">
        <f>RUBRICA!A9</f>
        <v>6. Entrega la documentación y evidencias requerida por la asignatura de acuerdo a la estrucutra y nombres solicitados, guardando todas las evidencias de avances en Git</v>
      </c>
      <c r="C18" s="24"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6" outlineLevel="1" x14ac:dyDescent="0.2">
      <c r="A19" s="39"/>
      <c r="B19" s="26" t="str">
        <f>RUBRICA!A10</f>
        <v>7.- Generan evidencias claras dentro del repositorio  del aporte de cada uno de los integrantes del equipo que permitan identificar la equidad en el trabajo y la participación de cada estudiante.</v>
      </c>
      <c r="C19" s="24" t="s">
        <v>24</v>
      </c>
      <c r="D19" s="15" t="str">
        <f>IF($C19=CL,"X","")</f>
        <v/>
      </c>
      <c r="E19" s="15" t="str">
        <f>IF(D19="X",100*0.15,"")</f>
        <v/>
      </c>
      <c r="F19" s="15" t="str">
        <f>IF($C19=L,"X","")</f>
        <v/>
      </c>
      <c r="G19" s="15" t="str">
        <f>IF(F19="X",60*0.15,"")</f>
        <v/>
      </c>
      <c r="H19" s="15" t="str">
        <f>IF($C19=ML,"X","")</f>
        <v>X</v>
      </c>
      <c r="I19" s="15">
        <f>IF(H19="X",30*0.15,"")</f>
        <v>4.5</v>
      </c>
      <c r="J19" s="15" t="str">
        <f>IF($C19=NL,"X","")</f>
        <v/>
      </c>
      <c r="K19" s="15" t="str">
        <f t="shared" si="5"/>
        <v/>
      </c>
    </row>
    <row r="20" spans="1:11" ht="26" outlineLevel="1" x14ac:dyDescent="0.2">
      <c r="A20" s="39"/>
      <c r="B20" s="26" t="str">
        <f>RUBRICA!A11</f>
        <v>8. Demuestra un trabajo en equipo en donde todos los miembros del equipo expresan con fluidez el conocimiento del tema expuesto y  participan de las actividades planificadas en el proyecto</v>
      </c>
      <c r="C20" s="24"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25">
      <c r="A21" s="38"/>
      <c r="B21" s="25" t="s">
        <v>4</v>
      </c>
      <c r="C21" s="29">
        <f>E21+G21+I21+K21</f>
        <v>68</v>
      </c>
      <c r="D21" s="16"/>
      <c r="E21" s="16">
        <f>SUM(E13:E20)</f>
        <v>50</v>
      </c>
      <c r="F21" s="16"/>
      <c r="G21" s="16">
        <f>SUM(G13:G20)</f>
        <v>6</v>
      </c>
      <c r="H21" s="16"/>
      <c r="I21" s="16">
        <f>SUM(I13:I20)</f>
        <v>12</v>
      </c>
      <c r="J21" s="16"/>
      <c r="K21" s="16">
        <f>SUM(K13:K20)</f>
        <v>0</v>
      </c>
    </row>
    <row r="22" spans="1:11" ht="15.75" customHeight="1" outlineLevel="1" x14ac:dyDescent="0.25">
      <c r="A22" s="40"/>
      <c r="B22" s="28" t="s">
        <v>13</v>
      </c>
      <c r="C22" s="17">
        <f>VLOOKUP(C21,ESCALA_IEP!A2:B202,2,FALSE)</f>
        <v>4.5999999999999996</v>
      </c>
    </row>
    <row r="23" spans="1:11" ht="15.75" customHeight="1" x14ac:dyDescent="0.2">
      <c r="D23" t="s">
        <v>41</v>
      </c>
    </row>
    <row r="24" spans="1:11" ht="48" customHeight="1" x14ac:dyDescent="0.2">
      <c r="B24" s="32"/>
    </row>
    <row r="25" spans="1:11" ht="15.75" customHeight="1" x14ac:dyDescent="0.25">
      <c r="B25" t="s">
        <v>66</v>
      </c>
      <c r="C25" s="18"/>
    </row>
    <row r="26" spans="1:11" ht="31.25" customHeight="1" x14ac:dyDescent="0.2">
      <c r="B26" s="57" t="s">
        <v>67</v>
      </c>
    </row>
    <row r="27" spans="1:11" ht="15.75" customHeight="1" x14ac:dyDescent="0.2"/>
    <row r="28" spans="1:11" ht="15.75" customHeight="1" x14ac:dyDescent="0.2"/>
    <row r="29" spans="1:11" ht="15.75" customHeight="1" x14ac:dyDescent="0.2"/>
    <row r="30" spans="1:11" ht="15.75" customHeight="1" x14ac:dyDescent="0.2"/>
    <row r="31" spans="1:11" ht="15.75" customHeight="1" x14ac:dyDescent="0.2"/>
    <row r="32" spans="1: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C11" sqref="C11"/>
    </sheetView>
  </sheetViews>
  <sheetFormatPr baseColWidth="10" defaultRowHeight="15" x14ac:dyDescent="0.2"/>
  <cols>
    <col min="1" max="6" width="38.83203125" customWidth="1"/>
  </cols>
  <sheetData>
    <row r="1" spans="1:6" ht="16" thickBot="1" x14ac:dyDescent="0.25">
      <c r="A1" s="46" t="s">
        <v>14</v>
      </c>
      <c r="B1" s="48" t="s">
        <v>15</v>
      </c>
      <c r="C1" s="49"/>
      <c r="D1" s="49"/>
      <c r="E1" s="50"/>
      <c r="F1" s="46" t="s">
        <v>16</v>
      </c>
    </row>
    <row r="2" spans="1:6" ht="16" x14ac:dyDescent="0.2">
      <c r="A2" s="47"/>
      <c r="B2" s="52" t="s">
        <v>25</v>
      </c>
      <c r="C2" s="52" t="s">
        <v>17</v>
      </c>
      <c r="D2" s="20" t="s">
        <v>18</v>
      </c>
      <c r="E2" s="21" t="s">
        <v>7</v>
      </c>
      <c r="F2" s="47"/>
    </row>
    <row r="3" spans="1:6" ht="16" thickBot="1" x14ac:dyDescent="0.25">
      <c r="A3" s="47"/>
      <c r="B3" s="53"/>
      <c r="C3" s="53"/>
      <c r="D3" s="34">
        <v>-0.3</v>
      </c>
      <c r="E3" s="34">
        <v>0</v>
      </c>
      <c r="F3" s="51"/>
    </row>
    <row r="4" spans="1:6" ht="46" thickBot="1" x14ac:dyDescent="0.25">
      <c r="A4" s="23" t="s">
        <v>26</v>
      </c>
      <c r="B4" s="23" t="s">
        <v>27</v>
      </c>
      <c r="C4" s="23" t="s">
        <v>28</v>
      </c>
      <c r="D4" s="23" t="s">
        <v>29</v>
      </c>
      <c r="E4" s="23" t="s">
        <v>30</v>
      </c>
      <c r="F4" s="22">
        <v>10</v>
      </c>
    </row>
    <row r="5" spans="1:6" ht="61" thickBot="1" x14ac:dyDescent="0.25">
      <c r="A5" s="23" t="s">
        <v>31</v>
      </c>
      <c r="B5" s="23" t="s">
        <v>42</v>
      </c>
      <c r="C5" s="23" t="s">
        <v>32</v>
      </c>
      <c r="D5" s="23" t="s">
        <v>33</v>
      </c>
      <c r="E5" s="23" t="s">
        <v>34</v>
      </c>
      <c r="F5" s="22">
        <v>10</v>
      </c>
    </row>
    <row r="6" spans="1:6" ht="91" thickBot="1" x14ac:dyDescent="0.25">
      <c r="A6" s="23" t="s">
        <v>43</v>
      </c>
      <c r="B6" s="23" t="s">
        <v>44</v>
      </c>
      <c r="C6" s="23" t="s">
        <v>45</v>
      </c>
      <c r="D6" s="23" t="s">
        <v>46</v>
      </c>
      <c r="E6" s="23" t="s">
        <v>47</v>
      </c>
      <c r="F6" s="22">
        <v>25</v>
      </c>
    </row>
    <row r="7" spans="1:6" ht="46" thickBot="1" x14ac:dyDescent="0.25">
      <c r="A7" s="23" t="s">
        <v>48</v>
      </c>
      <c r="B7" s="23" t="s">
        <v>49</v>
      </c>
      <c r="C7" s="23" t="s">
        <v>50</v>
      </c>
      <c r="D7" s="23" t="s">
        <v>51</v>
      </c>
      <c r="E7" s="23" t="s">
        <v>52</v>
      </c>
      <c r="F7" s="22">
        <v>5</v>
      </c>
    </row>
    <row r="8" spans="1:6" ht="45" x14ac:dyDescent="0.2">
      <c r="A8" s="23" t="s">
        <v>35</v>
      </c>
      <c r="B8" s="23" t="s">
        <v>22</v>
      </c>
      <c r="C8" s="23" t="s">
        <v>19</v>
      </c>
      <c r="D8" s="23" t="s">
        <v>20</v>
      </c>
      <c r="E8" s="23" t="s">
        <v>21</v>
      </c>
      <c r="F8" s="35">
        <v>5</v>
      </c>
    </row>
    <row r="9" spans="1:6" ht="61" thickBot="1" x14ac:dyDescent="0.25">
      <c r="A9" s="23" t="s">
        <v>53</v>
      </c>
      <c r="B9" s="23" t="s">
        <v>54</v>
      </c>
      <c r="C9" s="23" t="s">
        <v>55</v>
      </c>
      <c r="D9" s="23" t="s">
        <v>56</v>
      </c>
      <c r="E9" s="23" t="s">
        <v>57</v>
      </c>
      <c r="F9" s="22">
        <v>20</v>
      </c>
    </row>
    <row r="10" spans="1:6" ht="61" thickBot="1" x14ac:dyDescent="0.25">
      <c r="A10" s="36" t="s">
        <v>58</v>
      </c>
      <c r="B10" s="36" t="s">
        <v>59</v>
      </c>
      <c r="C10" s="36" t="s">
        <v>60</v>
      </c>
      <c r="D10" s="36" t="s">
        <v>61</v>
      </c>
      <c r="E10" s="36" t="s">
        <v>62</v>
      </c>
      <c r="F10" s="30">
        <v>15</v>
      </c>
    </row>
    <row r="11" spans="1:6" ht="81.5" customHeight="1" x14ac:dyDescent="0.2">
      <c r="A11" s="23" t="s">
        <v>36</v>
      </c>
      <c r="B11" s="23" t="s">
        <v>37</v>
      </c>
      <c r="C11" s="23" t="s">
        <v>38</v>
      </c>
      <c r="D11" s="23" t="s">
        <v>39</v>
      </c>
      <c r="E11" s="23" t="s">
        <v>40</v>
      </c>
      <c r="F11" s="33">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4" t="s">
        <v>3</v>
      </c>
      <c r="B1" s="6" t="s">
        <v>4</v>
      </c>
      <c r="C1" s="7"/>
      <c r="D1" s="7"/>
      <c r="E1" s="8"/>
    </row>
    <row r="2" spans="1:5" ht="49" thickBot="1" x14ac:dyDescent="0.25">
      <c r="A2" s="55"/>
      <c r="B2" s="9" t="s">
        <v>5</v>
      </c>
      <c r="C2" s="10" t="s">
        <v>6</v>
      </c>
      <c r="D2" s="27" t="s">
        <v>24</v>
      </c>
      <c r="E2" s="11" t="s">
        <v>7</v>
      </c>
    </row>
    <row r="3" spans="1:5" ht="33" thickBot="1" x14ac:dyDescent="0.25">
      <c r="A3" s="12" t="s">
        <v>8</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2025-11-07T00:23:05Z</dcterms:modified>
</cp:coreProperties>
</file>